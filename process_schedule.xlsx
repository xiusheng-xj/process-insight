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pps\Dev\Process_Schedule\"/>
    </mc:Choice>
  </mc:AlternateContent>
  <xr:revisionPtr revIDLastSave="0" documentId="13_ncr:1_{AD0DE4D3-B3BE-4267-9149-8E65A9F85B5C}" xr6:coauthVersionLast="47" xr6:coauthVersionMax="47" xr10:uidLastSave="{00000000-0000-0000-0000-000000000000}"/>
  <bookViews>
    <workbookView xWindow="6780" yWindow="-16320" windowWidth="29040" windowHeight="15720" xr2:uid="{7AFCA38D-DA68-4C4C-A0AE-17A7CD592C6C}"/>
  </bookViews>
  <sheets>
    <sheet name="Rev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2" i="1" l="1"/>
  <c r="AW9" i="1"/>
  <c r="AW8" i="1"/>
  <c r="AK7" i="1"/>
  <c r="AK8" i="1" s="1"/>
  <c r="AK9" i="1" s="1"/>
  <c r="AK10" i="1" s="1"/>
  <c r="AK11" i="1" s="1"/>
  <c r="K8" i="1"/>
  <c r="K10" i="1" s="1"/>
  <c r="L8" i="1"/>
  <c r="L10" i="1" s="1"/>
  <c r="M8" i="1"/>
  <c r="M10" i="1" s="1"/>
  <c r="N8" i="1"/>
  <c r="N10" i="1" s="1"/>
  <c r="O8" i="1"/>
  <c r="O10" i="1" s="1"/>
  <c r="K9" i="1"/>
  <c r="K11" i="1" s="1"/>
  <c r="L9" i="1"/>
  <c r="L11" i="1" s="1"/>
  <c r="M9" i="1"/>
  <c r="M11" i="1" s="1"/>
  <c r="N9" i="1"/>
  <c r="N11" i="1" s="1"/>
  <c r="O9" i="1"/>
  <c r="O11" i="1" s="1"/>
  <c r="J9" i="1"/>
  <c r="J11" i="1" s="1"/>
  <c r="J8" i="1"/>
  <c r="J10" i="1" s="1"/>
  <c r="D8" i="1"/>
  <c r="D10" i="1" s="1"/>
  <c r="E8" i="1"/>
  <c r="E10" i="1" s="1"/>
  <c r="F8" i="1"/>
  <c r="F10" i="1" s="1"/>
  <c r="G8" i="1"/>
  <c r="G10" i="1" s="1"/>
  <c r="H8" i="1"/>
  <c r="H10" i="1" s="1"/>
  <c r="D9" i="1"/>
  <c r="D11" i="1" s="1"/>
  <c r="E9" i="1"/>
  <c r="E11" i="1" s="1"/>
  <c r="F9" i="1"/>
  <c r="F11" i="1" s="1"/>
  <c r="G9" i="1"/>
  <c r="G11" i="1" s="1"/>
  <c r="H9" i="1"/>
  <c r="H11" i="1" s="1"/>
  <c r="C8" i="1"/>
  <c r="C10" i="1" s="1"/>
  <c r="C9" i="1"/>
  <c r="C11" i="1" s="1"/>
  <c r="B9" i="1"/>
  <c r="B11" i="1" s="1"/>
  <c r="B8" i="1"/>
  <c r="B10" i="1" s="1"/>
  <c r="AH7" i="1"/>
</calcChain>
</file>

<file path=xl/sharedStrings.xml><?xml version="1.0" encoding="utf-8"?>
<sst xmlns="http://schemas.openxmlformats.org/spreadsheetml/2006/main" count="133" uniqueCount="89">
  <si>
    <t>No</t>
    <phoneticPr fontId="1"/>
  </si>
  <si>
    <t>パターン</t>
    <phoneticPr fontId="1"/>
  </si>
  <si>
    <t>自部門担当者</t>
    <rPh sb="0" eb="3">
      <t>ジブモン</t>
    </rPh>
    <rPh sb="3" eb="6">
      <t>タントウシャ</t>
    </rPh>
    <phoneticPr fontId="1"/>
  </si>
  <si>
    <t>A部門担当者</t>
    <rPh sb="1" eb="6">
      <t>ブモンタントウシャ</t>
    </rPh>
    <phoneticPr fontId="1"/>
  </si>
  <si>
    <t>B部門担当者</t>
    <rPh sb="1" eb="6">
      <t>ブモンタントウシャ</t>
    </rPh>
    <phoneticPr fontId="1"/>
  </si>
  <si>
    <t>C部門担当者</t>
    <rPh sb="1" eb="6">
      <t>ブモンタントウシャ</t>
    </rPh>
    <phoneticPr fontId="1"/>
  </si>
  <si>
    <t>自部門</t>
    <rPh sb="0" eb="3">
      <t>ジブモン</t>
    </rPh>
    <phoneticPr fontId="1"/>
  </si>
  <si>
    <t>初回登録日</t>
    <rPh sb="0" eb="2">
      <t>ショカイ</t>
    </rPh>
    <rPh sb="2" eb="5">
      <t>トウロクビ</t>
    </rPh>
    <phoneticPr fontId="1"/>
  </si>
  <si>
    <t>受注日</t>
    <rPh sb="0" eb="3">
      <t>ジュチュウビ</t>
    </rPh>
    <phoneticPr fontId="1"/>
  </si>
  <si>
    <t>価格
概算／確定</t>
    <rPh sb="0" eb="2">
      <t>カカク</t>
    </rPh>
    <rPh sb="3" eb="5">
      <t>ガイサン</t>
    </rPh>
    <rPh sb="6" eb="8">
      <t>カクテイ</t>
    </rPh>
    <phoneticPr fontId="1"/>
  </si>
  <si>
    <t>要求納期</t>
    <rPh sb="0" eb="4">
      <t>ヨウキュウノウキ</t>
    </rPh>
    <phoneticPr fontId="1"/>
  </si>
  <si>
    <t>回答納期</t>
    <rPh sb="0" eb="4">
      <t>カイトウノウキ</t>
    </rPh>
    <phoneticPr fontId="1"/>
  </si>
  <si>
    <t>納期調整状況</t>
    <rPh sb="0" eb="2">
      <t>ノウキ</t>
    </rPh>
    <rPh sb="2" eb="4">
      <t>チョウセイ</t>
    </rPh>
    <rPh sb="4" eb="6">
      <t>ジョウキョウ</t>
    </rPh>
    <phoneticPr fontId="1"/>
  </si>
  <si>
    <t>From：A部門</t>
    <rPh sb="6" eb="8">
      <t>ブモン</t>
    </rPh>
    <phoneticPr fontId="1"/>
  </si>
  <si>
    <t>From：注文票</t>
    <rPh sb="5" eb="8">
      <t>チュウモンヒョウ</t>
    </rPh>
    <phoneticPr fontId="1"/>
  </si>
  <si>
    <t>日程表A</t>
    <rPh sb="0" eb="2">
      <t>ニッテイ</t>
    </rPh>
    <rPh sb="2" eb="3">
      <t>ヒョウ</t>
    </rPh>
    <phoneticPr fontId="1"/>
  </si>
  <si>
    <t>日程表B</t>
    <rPh sb="0" eb="3">
      <t>ニッテイヒョウ</t>
    </rPh>
    <phoneticPr fontId="1"/>
  </si>
  <si>
    <t>書類A
最新版提出日</t>
    <rPh sb="0" eb="2">
      <t>ショルイ</t>
    </rPh>
    <rPh sb="4" eb="7">
      <t>サイシンバン</t>
    </rPh>
    <rPh sb="7" eb="10">
      <t>テイシュツビ</t>
    </rPh>
    <phoneticPr fontId="1"/>
  </si>
  <si>
    <t>リピート／新規</t>
    <rPh sb="5" eb="7">
      <t>シンキ</t>
    </rPh>
    <phoneticPr fontId="1"/>
  </si>
  <si>
    <t>全体会議①</t>
    <rPh sb="0" eb="4">
      <t>ゼンタイカイギ</t>
    </rPh>
    <phoneticPr fontId="1"/>
  </si>
  <si>
    <t>全体会議②</t>
    <rPh sb="0" eb="4">
      <t>ゼンタイカイギ</t>
    </rPh>
    <phoneticPr fontId="1"/>
  </si>
  <si>
    <t>全体会議③</t>
    <rPh sb="0" eb="4">
      <t>ゼンタイカイギ</t>
    </rPh>
    <phoneticPr fontId="1"/>
  </si>
  <si>
    <t>全体会議④</t>
    <rPh sb="0" eb="4">
      <t>ゼンタイカイギ</t>
    </rPh>
    <phoneticPr fontId="1"/>
  </si>
  <si>
    <t>全体会議⑤</t>
    <rPh sb="0" eb="4">
      <t>ゼンタイカイギ</t>
    </rPh>
    <phoneticPr fontId="1"/>
  </si>
  <si>
    <t>書類A
初版提出日</t>
    <rPh sb="0" eb="2">
      <t>ショルイ</t>
    </rPh>
    <rPh sb="4" eb="6">
      <t>ショハン</t>
    </rPh>
    <rPh sb="6" eb="9">
      <t>テイシュツビ</t>
    </rPh>
    <phoneticPr fontId="1"/>
  </si>
  <si>
    <t>対応完了日</t>
    <rPh sb="0" eb="5">
      <t>タイオウカンリョウビ</t>
    </rPh>
    <phoneticPr fontId="1"/>
  </si>
  <si>
    <t>B部門</t>
    <rPh sb="1" eb="3">
      <t>ブモン</t>
    </rPh>
    <phoneticPr fontId="1"/>
  </si>
  <si>
    <t>納期</t>
    <rPh sb="0" eb="2">
      <t>ノウキ</t>
    </rPh>
    <phoneticPr fontId="1"/>
  </si>
  <si>
    <t>C部門</t>
    <rPh sb="1" eb="3">
      <t>ブモン</t>
    </rPh>
    <phoneticPr fontId="1"/>
  </si>
  <si>
    <t>照合日</t>
    <rPh sb="0" eb="3">
      <t>ショウゴウビ</t>
    </rPh>
    <phoneticPr fontId="1"/>
  </si>
  <si>
    <t>KK日</t>
    <rPh sb="2" eb="3">
      <t>ビ</t>
    </rPh>
    <phoneticPr fontId="1"/>
  </si>
  <si>
    <t>D部門</t>
    <rPh sb="1" eb="3">
      <t>ブモン</t>
    </rPh>
    <phoneticPr fontId="1"/>
  </si>
  <si>
    <t>開始日</t>
    <rPh sb="0" eb="3">
      <t>カイシビ</t>
    </rPh>
    <phoneticPr fontId="1"/>
  </si>
  <si>
    <t>完了日</t>
    <rPh sb="0" eb="3">
      <t>カンリョウビ</t>
    </rPh>
    <phoneticPr fontId="1"/>
  </si>
  <si>
    <t>ステータス</t>
    <phoneticPr fontId="1"/>
  </si>
  <si>
    <t>From：U列</t>
    <rPh sb="6" eb="7">
      <t>レツ</t>
    </rPh>
    <phoneticPr fontId="1"/>
  </si>
  <si>
    <t>確認日</t>
    <rPh sb="0" eb="3">
      <t>カクニンビ</t>
    </rPh>
    <phoneticPr fontId="1"/>
  </si>
  <si>
    <t>更新日</t>
    <rPh sb="0" eb="3">
      <t>コウシンビ</t>
    </rPh>
    <phoneticPr fontId="1"/>
  </si>
  <si>
    <t>状況</t>
    <rPh sb="0" eb="2">
      <t>ジョウキョウ</t>
    </rPh>
    <phoneticPr fontId="1"/>
  </si>
  <si>
    <t>機種</t>
    <rPh sb="0" eb="2">
      <t>キシュ</t>
    </rPh>
    <phoneticPr fontId="1"/>
  </si>
  <si>
    <t>案件名</t>
    <rPh sb="0" eb="3">
      <t>アンケンメイ</t>
    </rPh>
    <phoneticPr fontId="1"/>
  </si>
  <si>
    <t>製品名</t>
    <rPh sb="0" eb="3">
      <t>セイヒンメイ</t>
    </rPh>
    <phoneticPr fontId="1"/>
  </si>
  <si>
    <t>数量</t>
    <rPh sb="0" eb="2">
      <t>スウリョウ</t>
    </rPh>
    <phoneticPr fontId="1"/>
  </si>
  <si>
    <t>管理番号A</t>
    <rPh sb="0" eb="4">
      <t>カンリバンゴウ</t>
    </rPh>
    <phoneticPr fontId="1"/>
  </si>
  <si>
    <t>管理番号B</t>
    <rPh sb="0" eb="4">
      <t>カンリバンゴウ</t>
    </rPh>
    <phoneticPr fontId="1"/>
  </si>
  <si>
    <t>管理番号C</t>
    <rPh sb="0" eb="4">
      <t>カンリバンゴウ</t>
    </rPh>
    <phoneticPr fontId="1"/>
  </si>
  <si>
    <t>管理番号D</t>
    <rPh sb="0" eb="4">
      <t>カンリバンゴウ</t>
    </rPh>
    <phoneticPr fontId="1"/>
  </si>
  <si>
    <t>管理番号E</t>
    <rPh sb="0" eb="4">
      <t>カンリバンゴウ</t>
    </rPh>
    <phoneticPr fontId="1"/>
  </si>
  <si>
    <t>管理番号F</t>
    <rPh sb="0" eb="4">
      <t>カンリバンゴウ</t>
    </rPh>
    <phoneticPr fontId="1"/>
  </si>
  <si>
    <t>その他</t>
    <rPh sb="2" eb="3">
      <t>タ</t>
    </rPh>
    <phoneticPr fontId="1"/>
  </si>
  <si>
    <t>火</t>
  </si>
  <si>
    <t>火</t>
    <rPh sb="0" eb="1">
      <t>カ</t>
    </rPh>
    <phoneticPr fontId="1"/>
  </si>
  <si>
    <t>水</t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</si>
  <si>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</si>
  <si>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</si>
  <si>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</si>
  <si>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</si>
  <si>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</si>
  <si>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</si>
  <si>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Aさん</t>
    <phoneticPr fontId="1"/>
  </si>
  <si>
    <t>Bさん</t>
    <phoneticPr fontId="1"/>
  </si>
  <si>
    <t>Cさん</t>
    <phoneticPr fontId="1"/>
  </si>
  <si>
    <t>Dさん</t>
    <phoneticPr fontId="1"/>
  </si>
  <si>
    <t>予定</t>
    <rPh sb="0" eb="2">
      <t>ヨテイ</t>
    </rPh>
    <phoneticPr fontId="1"/>
  </si>
  <si>
    <t>プルダウン
決定／概算</t>
    <rPh sb="6" eb="8">
      <t>ケッテイ</t>
    </rPh>
    <rPh sb="9" eb="11">
      <t>ガイサン</t>
    </rPh>
    <phoneticPr fontId="1"/>
  </si>
  <si>
    <t>プルダウン
暫定／調整中／済み</t>
    <rPh sb="6" eb="8">
      <t>ザンテイ</t>
    </rPh>
    <rPh sb="9" eb="12">
      <t>チョウセイチュウ</t>
    </rPh>
    <rPh sb="13" eb="14">
      <t>スミ</t>
    </rPh>
    <phoneticPr fontId="1"/>
  </si>
  <si>
    <t>プルダウン
繰返／設計</t>
    <rPh sb="6" eb="7">
      <t>ク</t>
    </rPh>
    <rPh sb="7" eb="8">
      <t>カエ</t>
    </rPh>
    <rPh sb="9" eb="11">
      <t>セッケイ</t>
    </rPh>
    <phoneticPr fontId="1"/>
  </si>
  <si>
    <t>プルダウン
作業中／アラーム／完了</t>
    <rPh sb="6" eb="9">
      <t>サギョウチュウ</t>
    </rPh>
    <rPh sb="15" eb="17">
      <t>カンリョウ</t>
    </rPh>
    <phoneticPr fontId="1"/>
  </si>
  <si>
    <t>ABC</t>
    <phoneticPr fontId="1"/>
  </si>
  <si>
    <t>あいう</t>
    <phoneticPr fontId="1"/>
  </si>
  <si>
    <t>ABCあいう</t>
    <phoneticPr fontId="1"/>
  </si>
  <si>
    <t>abc1</t>
    <phoneticPr fontId="1"/>
  </si>
  <si>
    <t>abc2</t>
  </si>
  <si>
    <t>abc3</t>
  </si>
  <si>
    <t>abc4</t>
  </si>
  <si>
    <t>abc5</t>
  </si>
  <si>
    <t>abc6</t>
  </si>
  <si>
    <t>予実区分</t>
    <rPh sb="0" eb="2">
      <t>ヨジツ</t>
    </rPh>
    <rPh sb="2" eb="4">
      <t>クブン</t>
    </rPh>
    <phoneticPr fontId="1"/>
  </si>
  <si>
    <t>条件式
オンスケ／遅れ</t>
    <phoneticPr fontId="1"/>
  </si>
  <si>
    <t>条件式
結果</t>
    <rPh sb="4" eb="6">
      <t>ケッカ</t>
    </rPh>
    <phoneticPr fontId="1"/>
  </si>
  <si>
    <t>判定</t>
    <rPh sb="0" eb="2">
      <t>ハンテイ</t>
    </rPh>
    <phoneticPr fontId="1"/>
  </si>
  <si>
    <t>コメント</t>
    <phoneticPr fontId="1"/>
  </si>
  <si>
    <t>条件式結果</t>
    <rPh sb="3" eb="5">
      <t>ケッカ</t>
    </rPh>
    <phoneticPr fontId="1"/>
  </si>
  <si>
    <t>実績１</t>
    <rPh sb="0" eb="2">
      <t>ジッセキ</t>
    </rPh>
    <phoneticPr fontId="1"/>
  </si>
  <si>
    <t>実績２</t>
    <rPh sb="0" eb="2">
      <t>ジッセキ</t>
    </rPh>
    <phoneticPr fontId="1"/>
  </si>
  <si>
    <t>実績３</t>
    <rPh sb="0" eb="2">
      <t>ジッセキ</t>
    </rPh>
    <phoneticPr fontId="1"/>
  </si>
  <si>
    <t>工程管理パート</t>
    <rPh sb="0" eb="2">
      <t>コウテイ</t>
    </rPh>
    <rPh sb="2" eb="4">
      <t>カンリ</t>
    </rPh>
    <phoneticPr fontId="1"/>
  </si>
  <si>
    <t>案件情報パート</t>
    <rPh sb="0" eb="2">
      <t>アンケン</t>
    </rPh>
    <rPh sb="2" eb="4">
      <t>ジョウホウ</t>
    </rPh>
    <phoneticPr fontId="1"/>
  </si>
  <si>
    <t>基本情報パート</t>
    <rPh sb="0" eb="4">
      <t>キホンジョウホウ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</si>
</sst>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176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324A-AB66-4EAA-9247-434798A03ADF}">
  <dimension ref="B3:CA16"/>
  <sheetViews>
    <sheetView tabSelected="1" zoomScale="81" zoomScaleNormal="80" workbookViewId="0">
      <pane xSplit="3" topLeftCell="D1" activePane="topRight" state="frozen"/>
      <selection pane="topRight" activeCell="G19" sqref="G19"/>
    </sheetView>
  </sheetViews>
  <sheetFormatPr defaultRowHeight="17.649999999999999" x14ac:dyDescent="0.7"/>
  <cols>
    <col min="2" max="2" width="3.5625" bestFit="1" customWidth="1"/>
    <col min="3" max="3" width="5.5625" bestFit="1" customWidth="1"/>
    <col min="4" max="4" width="8.5625" bestFit="1" customWidth="1"/>
    <col min="5" max="5" width="12.4375" bestFit="1" customWidth="1"/>
    <col min="6" max="6" width="11.6875" bestFit="1" customWidth="1"/>
    <col min="7" max="8" width="11.8125" bestFit="1" customWidth="1"/>
    <col min="9" max="9" width="8.5625" bestFit="1" customWidth="1"/>
    <col min="10" max="11" width="11.5625" bestFit="1" customWidth="1"/>
    <col min="12" max="12" width="19.8125" bestFit="1" customWidth="1"/>
    <col min="13" max="14" width="11.5625" bestFit="1" customWidth="1"/>
    <col min="15" max="15" width="27.8125" bestFit="1" customWidth="1"/>
    <col min="16" max="17" width="11.5625" bestFit="1" customWidth="1"/>
    <col min="18" max="18" width="12.4375" bestFit="1" customWidth="1"/>
    <col min="19" max="19" width="14.1875" bestFit="1" customWidth="1"/>
    <col min="20" max="32" width="11.5625" bestFit="1" customWidth="1"/>
    <col min="33" max="33" width="10.4375" bestFit="1" customWidth="1"/>
    <col min="34" max="36" width="11.5625" bestFit="1" customWidth="1"/>
    <col min="37" max="37" width="8.5625" bestFit="1" customWidth="1"/>
    <col min="38" max="38" width="5.1875" bestFit="1" customWidth="1"/>
    <col min="39" max="39" width="6.8125" bestFit="1" customWidth="1"/>
    <col min="40" max="40" width="10.5625" bestFit="1" customWidth="1"/>
    <col min="41" max="41" width="5.0625" bestFit="1" customWidth="1"/>
    <col min="42" max="42" width="9.8125" bestFit="1" customWidth="1"/>
    <col min="43" max="45" width="9.9375" bestFit="1" customWidth="1"/>
    <col min="46" max="47" width="9.8125" bestFit="1" customWidth="1"/>
    <col min="48" max="48" width="5.0625" bestFit="1" customWidth="1"/>
    <col min="49" max="49" width="6.8125" bestFit="1" customWidth="1"/>
    <col min="50" max="58" width="3.3125" bestFit="1" customWidth="1"/>
    <col min="59" max="79" width="3.5625" bestFit="1" customWidth="1"/>
  </cols>
  <sheetData>
    <row r="3" spans="2:79" x14ac:dyDescent="0.7">
      <c r="B3" s="15" t="s">
        <v>88</v>
      </c>
      <c r="C3" s="16"/>
      <c r="D3" s="16"/>
      <c r="E3" s="16"/>
      <c r="F3" s="16"/>
      <c r="G3" s="16"/>
      <c r="H3" s="17"/>
      <c r="I3" s="13" t="s">
        <v>86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 t="s">
        <v>87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4">
        <v>45748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spans="2:79" x14ac:dyDescent="0.7">
      <c r="B4" s="18"/>
      <c r="C4" s="19"/>
      <c r="D4" s="19"/>
      <c r="E4" s="19"/>
      <c r="F4" s="19"/>
      <c r="G4" s="19"/>
      <c r="H4" s="20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</row>
    <row r="5" spans="2:79" x14ac:dyDescent="0.7">
      <c r="B5" s="13" t="s">
        <v>0</v>
      </c>
      <c r="C5" s="13"/>
      <c r="D5" s="13" t="s">
        <v>1</v>
      </c>
      <c r="E5" s="13" t="s">
        <v>2</v>
      </c>
      <c r="F5" s="13" t="s">
        <v>3</v>
      </c>
      <c r="G5" s="13" t="s">
        <v>4</v>
      </c>
      <c r="H5" s="13" t="s">
        <v>5</v>
      </c>
      <c r="I5" s="2"/>
      <c r="J5" s="2" t="s">
        <v>6</v>
      </c>
      <c r="K5" s="13" t="s">
        <v>14</v>
      </c>
      <c r="L5" s="13"/>
      <c r="M5" s="13"/>
      <c r="N5" s="13"/>
      <c r="O5" s="13"/>
      <c r="P5" s="13" t="s">
        <v>13</v>
      </c>
      <c r="Q5" s="13"/>
      <c r="R5" s="13"/>
      <c r="S5" s="13"/>
      <c r="T5" s="13"/>
      <c r="U5" s="13"/>
      <c r="V5" s="13"/>
      <c r="W5" s="13"/>
      <c r="X5" s="13"/>
      <c r="Y5" s="13"/>
      <c r="Z5" s="2" t="s">
        <v>6</v>
      </c>
      <c r="AA5" s="13" t="s">
        <v>26</v>
      </c>
      <c r="AB5" s="13"/>
      <c r="AC5" s="13" t="s">
        <v>28</v>
      </c>
      <c r="AD5" s="13"/>
      <c r="AE5" s="13" t="s">
        <v>31</v>
      </c>
      <c r="AF5" s="13"/>
      <c r="AG5" s="13"/>
      <c r="AH5" s="2" t="s">
        <v>35</v>
      </c>
      <c r="AI5" s="2" t="s">
        <v>6</v>
      </c>
      <c r="AJ5" s="13" t="s">
        <v>37</v>
      </c>
      <c r="AK5" s="13" t="s">
        <v>38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2">
        <v>1</v>
      </c>
      <c r="AY5" s="2">
        <v>2</v>
      </c>
      <c r="AZ5" s="2">
        <v>3</v>
      </c>
      <c r="BA5" s="2">
        <v>4</v>
      </c>
      <c r="BB5" s="2">
        <v>5</v>
      </c>
      <c r="BC5" s="2">
        <v>6</v>
      </c>
      <c r="BD5" s="2">
        <v>7</v>
      </c>
      <c r="BE5" s="2">
        <v>8</v>
      </c>
      <c r="BF5" s="2">
        <v>9</v>
      </c>
      <c r="BG5" s="2">
        <v>10</v>
      </c>
      <c r="BH5" s="2">
        <v>11</v>
      </c>
      <c r="BI5" s="2">
        <v>12</v>
      </c>
      <c r="BJ5" s="2">
        <v>13</v>
      </c>
      <c r="BK5" s="2">
        <v>14</v>
      </c>
      <c r="BL5" s="2">
        <v>15</v>
      </c>
      <c r="BM5" s="2">
        <v>16</v>
      </c>
      <c r="BN5" s="2">
        <v>17</v>
      </c>
      <c r="BO5" s="2">
        <v>18</v>
      </c>
      <c r="BP5" s="2">
        <v>19</v>
      </c>
      <c r="BQ5" s="2">
        <v>20</v>
      </c>
      <c r="BR5" s="2">
        <v>21</v>
      </c>
      <c r="BS5" s="2">
        <v>22</v>
      </c>
      <c r="BT5" s="2">
        <v>23</v>
      </c>
      <c r="BU5" s="2">
        <v>24</v>
      </c>
      <c r="BV5" s="2">
        <v>25</v>
      </c>
      <c r="BW5" s="2">
        <v>26</v>
      </c>
      <c r="BX5" s="2">
        <v>27</v>
      </c>
      <c r="BY5" s="2">
        <v>28</v>
      </c>
      <c r="BZ5" s="2">
        <v>29</v>
      </c>
      <c r="CA5" s="2">
        <v>30</v>
      </c>
    </row>
    <row r="6" spans="2:79" ht="35.25" x14ac:dyDescent="0.7">
      <c r="B6" s="13"/>
      <c r="C6" s="13"/>
      <c r="D6" s="13"/>
      <c r="E6" s="13"/>
      <c r="F6" s="13"/>
      <c r="G6" s="13"/>
      <c r="H6" s="13"/>
      <c r="I6" s="3" t="s">
        <v>77</v>
      </c>
      <c r="J6" s="2" t="s">
        <v>7</v>
      </c>
      <c r="K6" s="2" t="s">
        <v>8</v>
      </c>
      <c r="L6" s="3" t="s">
        <v>9</v>
      </c>
      <c r="M6" s="2" t="s">
        <v>10</v>
      </c>
      <c r="N6" s="2" t="s">
        <v>11</v>
      </c>
      <c r="O6" s="2" t="s">
        <v>12</v>
      </c>
      <c r="P6" s="2" t="s">
        <v>15</v>
      </c>
      <c r="Q6" s="2" t="s">
        <v>16</v>
      </c>
      <c r="R6" s="3" t="s">
        <v>17</v>
      </c>
      <c r="S6" s="2" t="s">
        <v>18</v>
      </c>
      <c r="T6" s="2" t="s">
        <v>19</v>
      </c>
      <c r="U6" s="2" t="s">
        <v>20</v>
      </c>
      <c r="V6" s="2" t="s">
        <v>21</v>
      </c>
      <c r="W6" s="2" t="s">
        <v>22</v>
      </c>
      <c r="X6" s="2" t="s">
        <v>23</v>
      </c>
      <c r="Y6" s="3" t="s">
        <v>24</v>
      </c>
      <c r="Z6" s="2" t="s">
        <v>25</v>
      </c>
      <c r="AA6" s="2" t="s">
        <v>25</v>
      </c>
      <c r="AB6" s="2" t="s">
        <v>27</v>
      </c>
      <c r="AC6" s="2" t="s">
        <v>29</v>
      </c>
      <c r="AD6" s="2" t="s">
        <v>30</v>
      </c>
      <c r="AE6" s="2" t="s">
        <v>32</v>
      </c>
      <c r="AF6" s="2" t="s">
        <v>33</v>
      </c>
      <c r="AG6" s="2" t="s">
        <v>34</v>
      </c>
      <c r="AH6" s="2" t="s">
        <v>23</v>
      </c>
      <c r="AI6" s="2" t="s">
        <v>36</v>
      </c>
      <c r="AJ6" s="13"/>
      <c r="AK6" s="13"/>
      <c r="AL6" s="1" t="s">
        <v>39</v>
      </c>
      <c r="AM6" s="1" t="s">
        <v>40</v>
      </c>
      <c r="AN6" s="1" t="s">
        <v>41</v>
      </c>
      <c r="AO6" s="1" t="s">
        <v>42</v>
      </c>
      <c r="AP6" s="1" t="s">
        <v>43</v>
      </c>
      <c r="AQ6" s="1" t="s">
        <v>44</v>
      </c>
      <c r="AR6" s="1" t="s">
        <v>45</v>
      </c>
      <c r="AS6" s="1" t="s">
        <v>46</v>
      </c>
      <c r="AT6" s="1" t="s">
        <v>47</v>
      </c>
      <c r="AU6" s="1" t="s">
        <v>48</v>
      </c>
      <c r="AV6" s="1" t="s">
        <v>42</v>
      </c>
      <c r="AW6" s="1" t="s">
        <v>49</v>
      </c>
      <c r="AX6" s="1" t="s">
        <v>51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50</v>
      </c>
      <c r="BF6" s="1" t="s">
        <v>52</v>
      </c>
      <c r="BG6" s="1" t="s">
        <v>54</v>
      </c>
      <c r="BH6" s="1" t="s">
        <v>55</v>
      </c>
      <c r="BI6" s="1" t="s">
        <v>56</v>
      </c>
      <c r="BJ6" s="1" t="s">
        <v>57</v>
      </c>
      <c r="BK6" s="1" t="s">
        <v>58</v>
      </c>
      <c r="BL6" s="1" t="s">
        <v>50</v>
      </c>
      <c r="BM6" s="1" t="s">
        <v>52</v>
      </c>
      <c r="BN6" s="1" t="s">
        <v>54</v>
      </c>
      <c r="BO6" s="1" t="s">
        <v>55</v>
      </c>
      <c r="BP6" s="1" t="s">
        <v>56</v>
      </c>
      <c r="BQ6" s="1" t="s">
        <v>57</v>
      </c>
      <c r="BR6" s="1" t="s">
        <v>58</v>
      </c>
      <c r="BS6" s="1" t="s">
        <v>50</v>
      </c>
      <c r="BT6" s="1" t="s">
        <v>52</v>
      </c>
      <c r="BU6" s="1" t="s">
        <v>54</v>
      </c>
      <c r="BV6" s="1" t="s">
        <v>55</v>
      </c>
      <c r="BW6" s="1" t="s">
        <v>56</v>
      </c>
      <c r="BX6" s="1" t="s">
        <v>57</v>
      </c>
      <c r="BY6" s="1" t="s">
        <v>58</v>
      </c>
      <c r="BZ6" s="1" t="s">
        <v>50</v>
      </c>
      <c r="CA6" s="1" t="s">
        <v>52</v>
      </c>
    </row>
    <row r="7" spans="2:79" ht="70.5" x14ac:dyDescent="0.7">
      <c r="B7" s="5">
        <v>24</v>
      </c>
      <c r="C7" s="5">
        <v>1019</v>
      </c>
      <c r="D7" s="5">
        <v>1</v>
      </c>
      <c r="E7" s="5" t="s">
        <v>59</v>
      </c>
      <c r="F7" s="5" t="s">
        <v>60</v>
      </c>
      <c r="G7" s="5" t="s">
        <v>61</v>
      </c>
      <c r="H7" s="5" t="s">
        <v>62</v>
      </c>
      <c r="I7" s="6" t="s">
        <v>63</v>
      </c>
      <c r="J7" s="7">
        <v>46023</v>
      </c>
      <c r="K7" s="7">
        <v>46024</v>
      </c>
      <c r="L7" s="8" t="s">
        <v>64</v>
      </c>
      <c r="M7" s="7">
        <v>46025</v>
      </c>
      <c r="N7" s="7">
        <v>46026</v>
      </c>
      <c r="O7" s="8" t="s">
        <v>65</v>
      </c>
      <c r="P7" s="7">
        <v>46027</v>
      </c>
      <c r="Q7" s="7">
        <v>46028</v>
      </c>
      <c r="R7" s="7">
        <v>46029</v>
      </c>
      <c r="S7" s="8" t="s">
        <v>66</v>
      </c>
      <c r="T7" s="7">
        <v>46030</v>
      </c>
      <c r="U7" s="7">
        <v>46031</v>
      </c>
      <c r="V7" s="7">
        <v>46032</v>
      </c>
      <c r="W7" s="7">
        <v>46033</v>
      </c>
      <c r="X7" s="7">
        <v>46034</v>
      </c>
      <c r="Y7" s="7">
        <v>46035</v>
      </c>
      <c r="Z7" s="7">
        <v>46036</v>
      </c>
      <c r="AA7" s="7">
        <v>46037</v>
      </c>
      <c r="AB7" s="7">
        <v>46038</v>
      </c>
      <c r="AC7" s="7">
        <v>46039</v>
      </c>
      <c r="AD7" s="7">
        <v>46040</v>
      </c>
      <c r="AE7" s="7">
        <v>46041</v>
      </c>
      <c r="AF7" s="7">
        <v>46042</v>
      </c>
      <c r="AG7" s="8" t="s">
        <v>67</v>
      </c>
      <c r="AH7" s="9">
        <f>U7</f>
        <v>46031</v>
      </c>
      <c r="AI7" s="7">
        <v>46043</v>
      </c>
      <c r="AJ7" s="7">
        <v>46044</v>
      </c>
      <c r="AK7" s="8" t="str">
        <f>AK12</f>
        <v>条件式
結果</v>
      </c>
      <c r="AL7" s="5" t="s">
        <v>68</v>
      </c>
      <c r="AM7" s="5" t="s">
        <v>69</v>
      </c>
      <c r="AN7" s="5" t="s">
        <v>70</v>
      </c>
      <c r="AO7" s="5">
        <v>1</v>
      </c>
      <c r="AP7" s="5" t="s">
        <v>71</v>
      </c>
      <c r="AQ7" s="5" t="s">
        <v>72</v>
      </c>
      <c r="AR7" s="5" t="s">
        <v>73</v>
      </c>
      <c r="AS7" s="5" t="s">
        <v>74</v>
      </c>
      <c r="AT7" s="5" t="s">
        <v>75</v>
      </c>
      <c r="AU7" s="5" t="s">
        <v>76</v>
      </c>
      <c r="AV7" s="5">
        <v>10</v>
      </c>
      <c r="AW7" s="5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2:79" x14ac:dyDescent="0.7">
      <c r="B8" s="6">
        <f>B7</f>
        <v>24</v>
      </c>
      <c r="C8" s="6">
        <f>C7</f>
        <v>1019</v>
      </c>
      <c r="D8" s="6">
        <f t="shared" ref="D8:H8" si="0">D7</f>
        <v>1</v>
      </c>
      <c r="E8" s="6" t="str">
        <f t="shared" si="0"/>
        <v>Aさん</v>
      </c>
      <c r="F8" s="6" t="str">
        <f t="shared" si="0"/>
        <v>Bさん</v>
      </c>
      <c r="G8" s="6" t="str">
        <f t="shared" si="0"/>
        <v>Cさん</v>
      </c>
      <c r="H8" s="6" t="str">
        <f t="shared" si="0"/>
        <v>Dさん</v>
      </c>
      <c r="I8" s="6"/>
      <c r="J8" s="9">
        <f>J7</f>
        <v>46023</v>
      </c>
      <c r="K8" s="9">
        <f t="shared" ref="K8:O8" si="1">K7</f>
        <v>46024</v>
      </c>
      <c r="L8" s="9" t="str">
        <f t="shared" si="1"/>
        <v>プルダウン
決定／概算</v>
      </c>
      <c r="M8" s="9">
        <f t="shared" si="1"/>
        <v>46025</v>
      </c>
      <c r="N8" s="9">
        <f t="shared" si="1"/>
        <v>46026</v>
      </c>
      <c r="O8" s="9" t="str">
        <f t="shared" si="1"/>
        <v>プルダウン
暫定／調整中／済み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 t="str">
        <f>AK7</f>
        <v>条件式
結果</v>
      </c>
      <c r="AL8" s="6"/>
      <c r="AM8" s="6"/>
      <c r="AN8" s="6"/>
      <c r="AO8" s="6"/>
      <c r="AP8" s="10" t="s">
        <v>81</v>
      </c>
      <c r="AQ8" s="10"/>
      <c r="AR8" s="10"/>
      <c r="AS8" s="10"/>
      <c r="AT8" s="10"/>
      <c r="AU8" s="10"/>
      <c r="AV8" s="10"/>
      <c r="AW8" s="6" t="str">
        <f>IF(ISBLANK(AW7),"",AW7)</f>
        <v/>
      </c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2:79" x14ac:dyDescent="0.7">
      <c r="B9" s="6">
        <f t="shared" ref="B9:C11" si="2">B7</f>
        <v>24</v>
      </c>
      <c r="C9" s="6">
        <f t="shared" si="2"/>
        <v>1019</v>
      </c>
      <c r="D9" s="6">
        <f t="shared" ref="D9:H11" si="3">D7</f>
        <v>1</v>
      </c>
      <c r="E9" s="6" t="str">
        <f t="shared" si="3"/>
        <v>Aさん</v>
      </c>
      <c r="F9" s="6" t="str">
        <f t="shared" si="3"/>
        <v>Bさん</v>
      </c>
      <c r="G9" s="6" t="str">
        <f t="shared" si="3"/>
        <v>Cさん</v>
      </c>
      <c r="H9" s="6" t="str">
        <f t="shared" si="3"/>
        <v>Dさん</v>
      </c>
      <c r="I9" s="6" t="s">
        <v>83</v>
      </c>
      <c r="J9" s="9">
        <f>J7</f>
        <v>46023</v>
      </c>
      <c r="K9" s="9">
        <f t="shared" ref="K9:O11" si="4">K7</f>
        <v>46024</v>
      </c>
      <c r="L9" s="9" t="str">
        <f t="shared" si="4"/>
        <v>プルダウン
決定／概算</v>
      </c>
      <c r="M9" s="9">
        <f t="shared" si="4"/>
        <v>46025</v>
      </c>
      <c r="N9" s="9">
        <f t="shared" si="4"/>
        <v>46026</v>
      </c>
      <c r="O9" s="9" t="str">
        <f t="shared" si="4"/>
        <v>プルダウン
暫定／調整中／済み</v>
      </c>
      <c r="P9" s="5"/>
      <c r="Q9" s="5"/>
      <c r="R9" s="6"/>
      <c r="S9" s="6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  <c r="AH9" s="11" t="s">
        <v>82</v>
      </c>
      <c r="AI9" s="5"/>
      <c r="AJ9" s="6"/>
      <c r="AK9" s="6" t="str">
        <f>AK8</f>
        <v>条件式
結果</v>
      </c>
      <c r="AL9" s="6"/>
      <c r="AM9" s="6"/>
      <c r="AN9" s="6"/>
      <c r="AO9" s="6"/>
      <c r="AP9" s="10"/>
      <c r="AQ9" s="10"/>
      <c r="AR9" s="10"/>
      <c r="AS9" s="10"/>
      <c r="AT9" s="10"/>
      <c r="AU9" s="10"/>
      <c r="AV9" s="10"/>
      <c r="AW9" s="6" t="str">
        <f>IF(ISBLANK(AW7),"",AW7)</f>
        <v/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2:79" x14ac:dyDescent="0.7">
      <c r="B10" s="6">
        <f t="shared" si="2"/>
        <v>24</v>
      </c>
      <c r="C10" s="6">
        <f t="shared" si="2"/>
        <v>1019</v>
      </c>
      <c r="D10" s="6">
        <f t="shared" si="3"/>
        <v>1</v>
      </c>
      <c r="E10" s="6" t="str">
        <f t="shared" si="3"/>
        <v>Aさん</v>
      </c>
      <c r="F10" s="6" t="str">
        <f t="shared" si="3"/>
        <v>Bさん</v>
      </c>
      <c r="G10" s="6" t="str">
        <f t="shared" si="3"/>
        <v>Cさん</v>
      </c>
      <c r="H10" s="6" t="str">
        <f t="shared" si="3"/>
        <v>Dさん</v>
      </c>
      <c r="I10" s="6" t="s">
        <v>84</v>
      </c>
      <c r="J10" s="9">
        <f>J8</f>
        <v>46023</v>
      </c>
      <c r="K10" s="9">
        <f t="shared" si="4"/>
        <v>46024</v>
      </c>
      <c r="L10" s="9" t="str">
        <f t="shared" si="4"/>
        <v>プルダウン
決定／概算</v>
      </c>
      <c r="M10" s="9">
        <f t="shared" si="4"/>
        <v>46025</v>
      </c>
      <c r="N10" s="9">
        <f t="shared" si="4"/>
        <v>46026</v>
      </c>
      <c r="O10" s="9" t="str">
        <f t="shared" si="4"/>
        <v>プルダウン
暫定／調整中／済み</v>
      </c>
      <c r="P10" s="5"/>
      <c r="Q10" s="5"/>
      <c r="R10" s="6"/>
      <c r="S10" s="6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  <c r="AH10" s="11" t="s">
        <v>82</v>
      </c>
      <c r="AI10" s="5"/>
      <c r="AJ10" s="6"/>
      <c r="AK10" s="6" t="str">
        <f t="shared" ref="AK10:AK11" si="5">AK9</f>
        <v>条件式
結果</v>
      </c>
      <c r="AL10" s="6"/>
      <c r="AM10" s="6"/>
      <c r="AN10" s="6"/>
      <c r="AO10" s="6"/>
      <c r="AP10" s="10"/>
      <c r="AQ10" s="10"/>
      <c r="AR10" s="10"/>
      <c r="AS10" s="10"/>
      <c r="AT10" s="10"/>
      <c r="AU10" s="10"/>
      <c r="AV10" s="10"/>
      <c r="AW10" s="6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2:79" x14ac:dyDescent="0.7">
      <c r="B11" s="6">
        <f t="shared" si="2"/>
        <v>24</v>
      </c>
      <c r="C11" s="6">
        <f t="shared" si="2"/>
        <v>1019</v>
      </c>
      <c r="D11" s="6">
        <f t="shared" si="3"/>
        <v>1</v>
      </c>
      <c r="E11" s="6" t="str">
        <f t="shared" si="3"/>
        <v>Aさん</v>
      </c>
      <c r="F11" s="6" t="str">
        <f t="shared" si="3"/>
        <v>Bさん</v>
      </c>
      <c r="G11" s="6" t="str">
        <f t="shared" si="3"/>
        <v>Cさん</v>
      </c>
      <c r="H11" s="6" t="str">
        <f t="shared" si="3"/>
        <v>Dさん</v>
      </c>
      <c r="I11" s="6" t="s">
        <v>85</v>
      </c>
      <c r="J11" s="9">
        <f>J9</f>
        <v>46023</v>
      </c>
      <c r="K11" s="9">
        <f t="shared" si="4"/>
        <v>46024</v>
      </c>
      <c r="L11" s="9" t="str">
        <f t="shared" si="4"/>
        <v>プルダウン
決定／概算</v>
      </c>
      <c r="M11" s="9">
        <f t="shared" si="4"/>
        <v>46025</v>
      </c>
      <c r="N11" s="9">
        <f t="shared" si="4"/>
        <v>46026</v>
      </c>
      <c r="O11" s="9" t="str">
        <f t="shared" si="4"/>
        <v>プルダウン
暫定／調整中／済み</v>
      </c>
      <c r="P11" s="5"/>
      <c r="Q11" s="5"/>
      <c r="R11" s="6"/>
      <c r="S11" s="6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  <c r="AH11" s="11" t="s">
        <v>82</v>
      </c>
      <c r="AI11" s="5"/>
      <c r="AJ11" s="6"/>
      <c r="AK11" s="6" t="str">
        <f t="shared" si="5"/>
        <v>条件式
結果</v>
      </c>
      <c r="AL11" s="6"/>
      <c r="AM11" s="6"/>
      <c r="AN11" s="6"/>
      <c r="AO11" s="6"/>
      <c r="AP11" s="10"/>
      <c r="AQ11" s="10"/>
      <c r="AR11" s="10"/>
      <c r="AS11" s="10"/>
      <c r="AT11" s="10"/>
      <c r="AU11" s="10"/>
      <c r="AV11" s="10"/>
      <c r="AW11" s="6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2:79" ht="52.9" x14ac:dyDescent="0.7">
      <c r="B12" s="6"/>
      <c r="C12" s="6"/>
      <c r="D12" s="6"/>
      <c r="E12" s="6"/>
      <c r="F12" s="6"/>
      <c r="G12" s="6"/>
      <c r="H12" s="6"/>
      <c r="I12" s="6" t="s">
        <v>80</v>
      </c>
      <c r="J12" s="9"/>
      <c r="K12" s="6"/>
      <c r="L12" s="6"/>
      <c r="M12" s="6"/>
      <c r="N12" s="6"/>
      <c r="O12" s="6"/>
      <c r="P12" s="11" t="s">
        <v>78</v>
      </c>
      <c r="Q12" s="11" t="s">
        <v>78</v>
      </c>
      <c r="R12" s="12"/>
      <c r="S12" s="12"/>
      <c r="T12" s="11" t="s">
        <v>78</v>
      </c>
      <c r="U12" s="11" t="s">
        <v>78</v>
      </c>
      <c r="V12" s="11" t="s">
        <v>78</v>
      </c>
      <c r="W12" s="11" t="s">
        <v>78</v>
      </c>
      <c r="X12" s="11" t="s">
        <v>78</v>
      </c>
      <c r="Y12" s="11" t="s">
        <v>78</v>
      </c>
      <c r="Z12" s="11" t="s">
        <v>78</v>
      </c>
      <c r="AA12" s="11" t="s">
        <v>78</v>
      </c>
      <c r="AB12" s="11" t="s">
        <v>78</v>
      </c>
      <c r="AC12" s="11" t="s">
        <v>78</v>
      </c>
      <c r="AD12" s="11" t="s">
        <v>78</v>
      </c>
      <c r="AE12" s="11" t="s">
        <v>78</v>
      </c>
      <c r="AF12" s="11" t="s">
        <v>78</v>
      </c>
      <c r="AG12" s="6"/>
      <c r="AH12" s="11" t="s">
        <v>78</v>
      </c>
      <c r="AI12" s="11" t="s">
        <v>78</v>
      </c>
      <c r="AJ12" s="6"/>
      <c r="AK12" s="11" t="s">
        <v>79</v>
      </c>
      <c r="AL12" s="6"/>
      <c r="AM12" s="6"/>
      <c r="AN12" s="6"/>
      <c r="AO12" s="6"/>
      <c r="AP12" s="10"/>
      <c r="AQ12" s="10"/>
      <c r="AR12" s="10"/>
      <c r="AS12" s="10"/>
      <c r="AT12" s="10"/>
      <c r="AU12" s="10"/>
      <c r="AV12" s="10"/>
      <c r="AW12" s="6" t="str">
        <f>IF(ISBLANK(AW7),"",AW7)</f>
        <v/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2:79" x14ac:dyDescent="0.7">
      <c r="J13" s="4"/>
    </row>
    <row r="14" spans="2:79" x14ac:dyDescent="0.7">
      <c r="J14" s="4"/>
    </row>
    <row r="15" spans="2:79" x14ac:dyDescent="0.7">
      <c r="J15" s="4"/>
    </row>
    <row r="16" spans="2:79" x14ac:dyDescent="0.7">
      <c r="J16" s="4"/>
    </row>
  </sheetData>
  <mergeCells count="18">
    <mergeCell ref="B3:H4"/>
    <mergeCell ref="I3:AK4"/>
    <mergeCell ref="AL3:AW5"/>
    <mergeCell ref="H5:H6"/>
    <mergeCell ref="K5:O5"/>
    <mergeCell ref="P5:Y5"/>
    <mergeCell ref="AA5:AB5"/>
    <mergeCell ref="AC5:AD5"/>
    <mergeCell ref="B5:C6"/>
    <mergeCell ref="D5:D6"/>
    <mergeCell ref="E5:E6"/>
    <mergeCell ref="F5:F6"/>
    <mergeCell ref="G5:G6"/>
    <mergeCell ref="AX4:CA4"/>
    <mergeCell ref="AE5:AG5"/>
    <mergeCell ref="AJ5:AJ6"/>
    <mergeCell ref="AK5:AK6"/>
    <mergeCell ref="AX3:CA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Rev.1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xiusheng.xj@outlook.com</dc:creator>
  <cp:lastModifiedBy>xiusheng.xj@outlook.com</cp:lastModifiedBy>
  <dcterms:created xsi:type="dcterms:W3CDTF">2026-06-10T02:27:54Z</dcterms:created>
  <dcterms:modified xsi:type="dcterms:W3CDTF">2026-06-11T05:25:42Z</dcterms:modified>
</cp:coreProperties>
</file>